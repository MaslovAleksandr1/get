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2ee40f0343cb92/отчёты физика/Эффект Холла в полупроводниках/"/>
    </mc:Choice>
  </mc:AlternateContent>
  <xr:revisionPtr revIDLastSave="27" documentId="14_{7CCC6AA0-254D-804D-90F1-6B5F106C0B8E}" xr6:coauthVersionLast="47" xr6:coauthVersionMax="47" xr10:uidLastSave="{512973BB-053A-814A-B560-7BF146B28F03}"/>
  <bookViews>
    <workbookView xWindow="0" yWindow="660" windowWidth="29400" windowHeight="18460" xr2:uid="{608F26C2-F293-004D-8EAF-8F08262E9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E54" i="1"/>
  <c r="F54" i="1"/>
  <c r="F55" i="1"/>
  <c r="F56" i="1"/>
  <c r="F57" i="1"/>
  <c r="F58" i="1"/>
  <c r="F59" i="1"/>
  <c r="F60" i="1"/>
  <c r="F61" i="1"/>
  <c r="F62" i="1"/>
  <c r="F63" i="1"/>
  <c r="F64" i="1"/>
  <c r="F65" i="1"/>
  <c r="E55" i="1"/>
  <c r="E56" i="1"/>
  <c r="E57" i="1"/>
  <c r="E58" i="1"/>
  <c r="E60" i="1"/>
  <c r="E61" i="1"/>
  <c r="E62" i="1"/>
  <c r="E63" i="1"/>
  <c r="E64" i="1"/>
  <c r="E65" i="1"/>
  <c r="D55" i="1"/>
  <c r="D56" i="1"/>
  <c r="D57" i="1"/>
  <c r="D58" i="1"/>
  <c r="D59" i="1"/>
  <c r="D60" i="1"/>
  <c r="D61" i="1"/>
  <c r="D62" i="1"/>
  <c r="D63" i="1"/>
  <c r="D64" i="1"/>
  <c r="D65" i="1"/>
  <c r="D54" i="1"/>
  <c r="B55" i="1"/>
  <c r="B56" i="1"/>
  <c r="B57" i="1"/>
  <c r="B58" i="1"/>
  <c r="B59" i="1"/>
  <c r="B60" i="1"/>
  <c r="B61" i="1"/>
  <c r="B62" i="1"/>
  <c r="B63" i="1"/>
  <c r="B64" i="1"/>
  <c r="B65" i="1"/>
  <c r="B54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D23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B23" i="1"/>
  <c r="B6" i="1"/>
  <c r="D7" i="1"/>
  <c r="D8" i="1"/>
  <c r="D9" i="1"/>
  <c r="D10" i="1"/>
  <c r="D11" i="1"/>
  <c r="D12" i="1"/>
  <c r="D13" i="1"/>
  <c r="D14" i="1"/>
  <c r="D15" i="1"/>
  <c r="D16" i="1"/>
  <c r="D6" i="1"/>
  <c r="B7" i="1"/>
  <c r="B8" i="1"/>
  <c r="B9" i="1"/>
  <c r="B10" i="1"/>
  <c r="B11" i="1"/>
  <c r="B12" i="1"/>
  <c r="B13" i="1"/>
  <c r="B14" i="1"/>
  <c r="B15" i="1"/>
  <c r="B16" i="1"/>
  <c r="M4" i="1"/>
  <c r="A7" i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<sst xmlns="http://schemas.openxmlformats.org/spreadsheetml/2006/main" count="24" uniqueCount="21">
  <si>
    <t>мА</t>
  </si>
  <si>
    <t>Ток через образец(Ip)</t>
  </si>
  <si>
    <t>R(Ом)</t>
  </si>
  <si>
    <t>Напряжение(Up)</t>
  </si>
  <si>
    <t>В</t>
  </si>
  <si>
    <t>B_0(mT)</t>
  </si>
  <si>
    <t>погрешность около 2</t>
  </si>
  <si>
    <t>Управляющий ток Ip</t>
  </si>
  <si>
    <t>I_p(mA)</t>
  </si>
  <si>
    <t>U_h(мВ)</t>
  </si>
  <si>
    <t>I_p(мА)</t>
  </si>
  <si>
    <t>T(℃)</t>
  </si>
  <si>
    <t>∆T</t>
  </si>
  <si>
    <t>U_p(В)</t>
  </si>
  <si>
    <t>∆U_p</t>
  </si>
  <si>
    <t>B(мТ)</t>
  </si>
  <si>
    <t>∆U_h</t>
  </si>
  <si>
    <t>∆B</t>
  </si>
  <si>
    <t>∆I_p</t>
  </si>
  <si>
    <t>lnσ</t>
  </si>
  <si>
    <t>1/T(1/к)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</si>
</sst>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9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4C53-7669-FA4E-B046-41C2BB9ADBEF}">
  <dimension ref="A1:M65"/>
  <sheetViews>
    <sheetView tabSelected="1" topLeftCell="A37" workbookViewId="0">
      <selection activeCell="E53" sqref="E53:F65"/>
    </sheetView>
  </sheetViews>
  <sheetFormatPr baseColWidth="10" defaultRowHeight="16" x14ac:dyDescent="0.2"/>
  <cols>
    <col min="1" max="1" width="17.1640625" customWidth="1"/>
    <col min="2" max="2" width="10.83203125" customWidth="1"/>
    <col min="3" max="3" width="18.5" customWidth="1"/>
    <col min="5" max="5" width="11.6640625" bestFit="1" customWidth="1"/>
    <col min="9" max="9" width="14.5" customWidth="1"/>
  </cols>
  <sheetData>
    <row r="1" spans="1:13" x14ac:dyDescent="0.2">
      <c r="E1" s="1"/>
    </row>
    <row r="3" spans="1:13" x14ac:dyDescent="0.2">
      <c r="A3" t="s">
        <v>5</v>
      </c>
      <c r="B3">
        <v>145</v>
      </c>
      <c r="C3" t="s">
        <v>6</v>
      </c>
    </row>
    <row r="4" spans="1:13" x14ac:dyDescent="0.2">
      <c r="I4" t="s">
        <v>1</v>
      </c>
      <c r="J4">
        <v>56.4</v>
      </c>
      <c r="K4" t="s">
        <v>0</v>
      </c>
      <c r="L4" t="s">
        <v>2</v>
      </c>
      <c r="M4" s="1">
        <f>J5/J4*1000</f>
        <v>28.723404255319153</v>
      </c>
    </row>
    <row r="5" spans="1:13" x14ac:dyDescent="0.2">
      <c r="A5" t="s">
        <v>10</v>
      </c>
      <c r="B5" t="s">
        <v>18</v>
      </c>
      <c r="C5" t="s">
        <v>9</v>
      </c>
      <c r="D5" t="s">
        <v>16</v>
      </c>
      <c r="I5" t="s">
        <v>3</v>
      </c>
      <c r="J5">
        <v>1.62</v>
      </c>
      <c r="K5" t="s">
        <v>4</v>
      </c>
    </row>
    <row r="6" spans="1:13" x14ac:dyDescent="0.2">
      <c r="A6">
        <v>-50</v>
      </c>
      <c r="B6" s="1">
        <f>ABS(A6)*0.01+0.5</f>
        <v>1</v>
      </c>
      <c r="C6" s="1">
        <v>-26</v>
      </c>
      <c r="D6" s="1">
        <f>ABS(C6)*0.01+0.2</f>
        <v>0.46</v>
      </c>
    </row>
    <row r="7" spans="1:13" x14ac:dyDescent="0.2">
      <c r="A7">
        <f>A6+10</f>
        <v>-40</v>
      </c>
      <c r="B7" s="1">
        <f t="shared" ref="B7:B16" si="0">ABS(A7)*0.01+0.5</f>
        <v>0.9</v>
      </c>
      <c r="C7" s="1">
        <v>-21.1</v>
      </c>
      <c r="D7" s="1">
        <f t="shared" ref="D7:D16" si="1">ABS(C7)*0.01+0.2</f>
        <v>0.41100000000000003</v>
      </c>
    </row>
    <row r="8" spans="1:13" x14ac:dyDescent="0.2">
      <c r="A8">
        <f t="shared" ref="A8:A15" si="2">A7+10</f>
        <v>-30</v>
      </c>
      <c r="B8" s="1">
        <f t="shared" si="0"/>
        <v>0.8</v>
      </c>
      <c r="C8" s="1">
        <v>-16</v>
      </c>
      <c r="D8" s="1">
        <f t="shared" si="1"/>
        <v>0.36</v>
      </c>
    </row>
    <row r="9" spans="1:13" x14ac:dyDescent="0.2">
      <c r="A9">
        <f t="shared" si="2"/>
        <v>-20</v>
      </c>
      <c r="B9" s="1">
        <f t="shared" si="0"/>
        <v>0.7</v>
      </c>
      <c r="C9" s="1">
        <v>-11.1</v>
      </c>
      <c r="D9" s="1">
        <f t="shared" si="1"/>
        <v>0.311</v>
      </c>
    </row>
    <row r="10" spans="1:13" x14ac:dyDescent="0.2">
      <c r="A10">
        <f t="shared" si="2"/>
        <v>-10</v>
      </c>
      <c r="B10" s="1">
        <f t="shared" si="0"/>
        <v>0.6</v>
      </c>
      <c r="C10" s="1">
        <v>-5.7</v>
      </c>
      <c r="D10" s="1">
        <f t="shared" si="1"/>
        <v>0.25700000000000001</v>
      </c>
    </row>
    <row r="11" spans="1:13" x14ac:dyDescent="0.2">
      <c r="A11">
        <f t="shared" si="2"/>
        <v>0</v>
      </c>
      <c r="B11" s="1">
        <f t="shared" si="0"/>
        <v>0.5</v>
      </c>
      <c r="C11" s="1">
        <v>-0.4</v>
      </c>
      <c r="D11" s="1">
        <f t="shared" si="1"/>
        <v>0.20400000000000001</v>
      </c>
    </row>
    <row r="12" spans="1:13" x14ac:dyDescent="0.2">
      <c r="A12">
        <f t="shared" si="2"/>
        <v>10</v>
      </c>
      <c r="B12" s="1">
        <f t="shared" si="0"/>
        <v>0.6</v>
      </c>
      <c r="C12" s="1">
        <v>4.5</v>
      </c>
      <c r="D12" s="1">
        <f t="shared" si="1"/>
        <v>0.245</v>
      </c>
    </row>
    <row r="13" spans="1:13" x14ac:dyDescent="0.2">
      <c r="A13">
        <f t="shared" si="2"/>
        <v>20</v>
      </c>
      <c r="B13" s="1">
        <f t="shared" si="0"/>
        <v>0.7</v>
      </c>
      <c r="C13" s="1">
        <v>9.9</v>
      </c>
      <c r="D13" s="1">
        <f t="shared" si="1"/>
        <v>0.29900000000000004</v>
      </c>
    </row>
    <row r="14" spans="1:13" x14ac:dyDescent="0.2">
      <c r="A14">
        <f t="shared" si="2"/>
        <v>30</v>
      </c>
      <c r="B14" s="1">
        <f t="shared" si="0"/>
        <v>0.8</v>
      </c>
      <c r="C14" s="1">
        <v>15</v>
      </c>
      <c r="D14" s="1">
        <f t="shared" si="1"/>
        <v>0.35</v>
      </c>
    </row>
    <row r="15" spans="1:13" x14ac:dyDescent="0.2">
      <c r="A15">
        <f t="shared" si="2"/>
        <v>40</v>
      </c>
      <c r="B15" s="1">
        <f t="shared" si="0"/>
        <v>0.9</v>
      </c>
      <c r="C15" s="1">
        <v>19.899999999999999</v>
      </c>
      <c r="D15" s="1">
        <f t="shared" si="1"/>
        <v>0.39900000000000002</v>
      </c>
    </row>
    <row r="16" spans="1:13" x14ac:dyDescent="0.2">
      <c r="A16">
        <f>A15+10</f>
        <v>50</v>
      </c>
      <c r="B16" s="1">
        <f t="shared" si="0"/>
        <v>1</v>
      </c>
      <c r="C16" s="1">
        <v>25.1</v>
      </c>
      <c r="D16" s="1">
        <f t="shared" si="1"/>
        <v>0.45100000000000001</v>
      </c>
    </row>
    <row r="20" spans="1:4" x14ac:dyDescent="0.2">
      <c r="A20" t="s">
        <v>8</v>
      </c>
      <c r="B20">
        <v>50</v>
      </c>
    </row>
    <row r="22" spans="1:4" x14ac:dyDescent="0.2">
      <c r="A22" t="s">
        <v>15</v>
      </c>
      <c r="B22" t="s">
        <v>17</v>
      </c>
      <c r="C22" t="s">
        <v>9</v>
      </c>
      <c r="D22" t="s">
        <v>16</v>
      </c>
    </row>
    <row r="23" spans="1:4" x14ac:dyDescent="0.2">
      <c r="A23" s="1">
        <v>-8</v>
      </c>
      <c r="B23" s="3">
        <f>ABS(A23)*0.01+0.2</f>
        <v>0.28000000000000003</v>
      </c>
      <c r="C23" s="1">
        <v>2.6</v>
      </c>
      <c r="D23" s="3">
        <f>ABS(C23)*0.01+0.1</f>
        <v>0.126</v>
      </c>
    </row>
    <row r="24" spans="1:4" x14ac:dyDescent="0.2">
      <c r="A24" s="1">
        <v>-30.3</v>
      </c>
      <c r="B24" s="3">
        <f t="shared" ref="B24:B47" si="3">ABS(A24)*0.01+0.2</f>
        <v>0.503</v>
      </c>
      <c r="C24" s="1">
        <v>5.7</v>
      </c>
      <c r="D24" s="3">
        <f t="shared" ref="D24:D47" si="4">ABS(C24)*0.01+0.2</f>
        <v>0.25700000000000001</v>
      </c>
    </row>
    <row r="25" spans="1:4" x14ac:dyDescent="0.2">
      <c r="A25" s="1">
        <v>-40.1</v>
      </c>
      <c r="B25" s="3">
        <f t="shared" si="3"/>
        <v>0.60099999999999998</v>
      </c>
      <c r="C25" s="1">
        <v>7.4</v>
      </c>
      <c r="D25" s="3">
        <f t="shared" si="4"/>
        <v>0.27400000000000002</v>
      </c>
    </row>
    <row r="26" spans="1:4" x14ac:dyDescent="0.2">
      <c r="A26" s="1">
        <v>-61.1</v>
      </c>
      <c r="B26" s="3">
        <f t="shared" si="3"/>
        <v>0.81099999999999994</v>
      </c>
      <c r="C26" s="1">
        <v>10.9</v>
      </c>
      <c r="D26" s="3">
        <f t="shared" si="4"/>
        <v>0.309</v>
      </c>
    </row>
    <row r="27" spans="1:4" x14ac:dyDescent="0.2">
      <c r="A27" s="1">
        <v>-69.400000000000006</v>
      </c>
      <c r="B27" s="3">
        <f t="shared" si="3"/>
        <v>0.89400000000000013</v>
      </c>
      <c r="C27" s="1">
        <v>12.3</v>
      </c>
      <c r="D27" s="3">
        <f t="shared" si="4"/>
        <v>0.32300000000000001</v>
      </c>
    </row>
    <row r="28" spans="1:4" x14ac:dyDescent="0.2">
      <c r="A28" s="1">
        <v>-80.599999999999994</v>
      </c>
      <c r="B28" s="3">
        <f t="shared" si="3"/>
        <v>1.006</v>
      </c>
      <c r="C28" s="1">
        <v>14.2</v>
      </c>
      <c r="D28" s="3">
        <f t="shared" si="4"/>
        <v>0.34199999999999997</v>
      </c>
    </row>
    <row r="29" spans="1:4" x14ac:dyDescent="0.2">
      <c r="A29" s="1">
        <v>-94.8</v>
      </c>
      <c r="B29" s="3">
        <f t="shared" si="3"/>
        <v>1.1479999999999999</v>
      </c>
      <c r="C29" s="1">
        <v>16.5</v>
      </c>
      <c r="D29" s="3">
        <f t="shared" si="4"/>
        <v>0.36499999999999999</v>
      </c>
    </row>
    <row r="30" spans="1:4" x14ac:dyDescent="0.2">
      <c r="A30" s="1">
        <v>-114.3</v>
      </c>
      <c r="B30" s="3">
        <f t="shared" si="3"/>
        <v>1.343</v>
      </c>
      <c r="C30" s="1">
        <v>19.899999999999999</v>
      </c>
      <c r="D30" s="3">
        <f t="shared" si="4"/>
        <v>0.39900000000000002</v>
      </c>
    </row>
    <row r="31" spans="1:4" x14ac:dyDescent="0.2">
      <c r="A31" s="1">
        <v>-134.4</v>
      </c>
      <c r="B31" s="3">
        <f t="shared" si="3"/>
        <v>1.544</v>
      </c>
      <c r="C31" s="1">
        <v>23.2</v>
      </c>
      <c r="D31" s="3">
        <f t="shared" si="4"/>
        <v>0.432</v>
      </c>
    </row>
    <row r="32" spans="1:4" x14ac:dyDescent="0.2">
      <c r="A32" s="1">
        <v>-155.4</v>
      </c>
      <c r="B32" s="3">
        <f t="shared" si="3"/>
        <v>1.754</v>
      </c>
      <c r="C32" s="1">
        <v>26.5</v>
      </c>
      <c r="D32" s="3">
        <f t="shared" si="4"/>
        <v>0.46500000000000002</v>
      </c>
    </row>
    <row r="33" spans="1:4" x14ac:dyDescent="0.2">
      <c r="A33" s="1">
        <v>-167.6</v>
      </c>
      <c r="B33" s="3">
        <f t="shared" si="3"/>
        <v>1.8759999999999999</v>
      </c>
      <c r="C33" s="1">
        <v>28.5</v>
      </c>
      <c r="D33" s="3">
        <f t="shared" si="4"/>
        <v>0.48500000000000004</v>
      </c>
    </row>
    <row r="34" spans="1:4" x14ac:dyDescent="0.2">
      <c r="A34" s="1">
        <v>-181.7</v>
      </c>
      <c r="B34" s="3">
        <f t="shared" si="3"/>
        <v>2.0169999999999999</v>
      </c>
      <c r="C34" s="1">
        <v>30.7</v>
      </c>
      <c r="D34" s="3">
        <f t="shared" si="4"/>
        <v>0.50700000000000001</v>
      </c>
    </row>
    <row r="35" spans="1:4" x14ac:dyDescent="0.2">
      <c r="A35" s="1">
        <v>-194</v>
      </c>
      <c r="B35" s="3">
        <f t="shared" si="3"/>
        <v>2.14</v>
      </c>
      <c r="C35" s="1">
        <v>32.700000000000003</v>
      </c>
      <c r="D35" s="3">
        <f t="shared" si="4"/>
        <v>0.52700000000000002</v>
      </c>
    </row>
    <row r="36" spans="1:4" x14ac:dyDescent="0.2">
      <c r="A36" s="1">
        <v>-6</v>
      </c>
      <c r="B36" s="3">
        <f t="shared" si="3"/>
        <v>0.26</v>
      </c>
      <c r="C36" s="1">
        <v>2.2000000000000002</v>
      </c>
      <c r="D36" s="3">
        <f t="shared" si="4"/>
        <v>0.222</v>
      </c>
    </row>
    <row r="37" spans="1:4" x14ac:dyDescent="0.2">
      <c r="A37" s="1">
        <v>13</v>
      </c>
      <c r="B37" s="3">
        <f t="shared" si="3"/>
        <v>0.33</v>
      </c>
      <c r="C37" s="1">
        <v>-1</v>
      </c>
      <c r="D37" s="3">
        <f t="shared" si="4"/>
        <v>0.21000000000000002</v>
      </c>
    </row>
    <row r="38" spans="1:4" x14ac:dyDescent="0.2">
      <c r="A38" s="1">
        <v>23.3</v>
      </c>
      <c r="B38" s="3">
        <f t="shared" si="3"/>
        <v>0.43300000000000005</v>
      </c>
      <c r="C38" s="1">
        <v>-3.3</v>
      </c>
      <c r="D38" s="3">
        <f t="shared" si="4"/>
        <v>0.23300000000000001</v>
      </c>
    </row>
    <row r="39" spans="1:4" x14ac:dyDescent="0.2">
      <c r="A39" s="1">
        <v>38.9</v>
      </c>
      <c r="B39" s="3">
        <f t="shared" si="3"/>
        <v>0.58899999999999997</v>
      </c>
      <c r="C39" s="1">
        <v>-5.9</v>
      </c>
      <c r="D39" s="3">
        <f t="shared" si="4"/>
        <v>0.25900000000000001</v>
      </c>
    </row>
    <row r="40" spans="1:4" x14ac:dyDescent="0.2">
      <c r="A40" s="1">
        <v>52.1</v>
      </c>
      <c r="B40" s="3">
        <f t="shared" si="3"/>
        <v>0.72100000000000009</v>
      </c>
      <c r="C40" s="1">
        <v>-8.1999999999999993</v>
      </c>
      <c r="D40" s="3">
        <f t="shared" si="4"/>
        <v>0.28200000000000003</v>
      </c>
    </row>
    <row r="41" spans="1:4" x14ac:dyDescent="0.2">
      <c r="A41" s="1">
        <v>64.8</v>
      </c>
      <c r="B41" s="3">
        <f t="shared" si="3"/>
        <v>0.84800000000000009</v>
      </c>
      <c r="C41" s="1">
        <v>-10.4</v>
      </c>
      <c r="D41" s="3">
        <f t="shared" si="4"/>
        <v>0.30400000000000005</v>
      </c>
    </row>
    <row r="42" spans="1:4" x14ac:dyDescent="0.2">
      <c r="A42" s="1">
        <v>85.3</v>
      </c>
      <c r="B42" s="3">
        <f t="shared" si="3"/>
        <v>1.0529999999999999</v>
      </c>
      <c r="C42" s="1">
        <v>-13.9</v>
      </c>
      <c r="D42" s="3">
        <f t="shared" si="4"/>
        <v>0.33900000000000002</v>
      </c>
    </row>
    <row r="43" spans="1:4" x14ac:dyDescent="0.2">
      <c r="A43" s="1">
        <v>106.3</v>
      </c>
      <c r="B43" s="3">
        <f t="shared" si="3"/>
        <v>1.2629999999999999</v>
      </c>
      <c r="C43" s="1">
        <v>-17.7</v>
      </c>
      <c r="D43" s="3">
        <f t="shared" si="4"/>
        <v>0.377</v>
      </c>
    </row>
    <row r="44" spans="1:4" x14ac:dyDescent="0.2">
      <c r="A44" s="1">
        <v>122.4</v>
      </c>
      <c r="B44" s="3">
        <f t="shared" si="3"/>
        <v>1.4239999999999999</v>
      </c>
      <c r="C44" s="1">
        <v>-20.2</v>
      </c>
      <c r="D44" s="3">
        <f t="shared" si="4"/>
        <v>0.40200000000000002</v>
      </c>
    </row>
    <row r="45" spans="1:4" x14ac:dyDescent="0.2">
      <c r="A45" s="1">
        <v>140</v>
      </c>
      <c r="B45" s="3">
        <f t="shared" si="3"/>
        <v>1.6</v>
      </c>
      <c r="C45" s="1">
        <v>-23.3</v>
      </c>
      <c r="D45" s="3">
        <f t="shared" si="4"/>
        <v>0.43300000000000005</v>
      </c>
    </row>
    <row r="46" spans="1:4" x14ac:dyDescent="0.2">
      <c r="A46" s="1">
        <v>156.1</v>
      </c>
      <c r="B46" s="3">
        <f t="shared" si="3"/>
        <v>1.7609999999999999</v>
      </c>
      <c r="C46" s="1">
        <v>-25.8</v>
      </c>
      <c r="D46" s="3">
        <f t="shared" si="4"/>
        <v>0.45800000000000002</v>
      </c>
    </row>
    <row r="47" spans="1:4" x14ac:dyDescent="0.2">
      <c r="A47" s="1">
        <v>181.5</v>
      </c>
      <c r="B47" s="3">
        <f t="shared" si="3"/>
        <v>2.0150000000000001</v>
      </c>
      <c r="C47" s="1">
        <v>-29.9</v>
      </c>
      <c r="D47" s="3">
        <f t="shared" si="4"/>
        <v>0.499</v>
      </c>
    </row>
    <row r="51" spans="1:6" x14ac:dyDescent="0.2">
      <c r="A51" t="s">
        <v>7</v>
      </c>
      <c r="B51">
        <v>50</v>
      </c>
      <c r="C51" t="s">
        <v>0</v>
      </c>
    </row>
    <row r="53" spans="1:6" x14ac:dyDescent="0.2">
      <c r="A53" t="s">
        <v>11</v>
      </c>
      <c r="B53" t="s">
        <v>12</v>
      </c>
      <c r="C53" t="s">
        <v>13</v>
      </c>
      <c r="D53" t="s">
        <v>14</v>
      </c>
      <c r="E53" t="s">
        <v>19</v>
      </c>
      <c r="F53" t="s">
        <v>20</v>
      </c>
    </row>
    <row r="54" spans="1:6" x14ac:dyDescent="0.2">
      <c r="A54" s="3">
        <v>100</v>
      </c>
      <c r="B54" s="3">
        <f>A54*0.01</f>
        <v>1</v>
      </c>
      <c r="C54">
        <v>1.83</v>
      </c>
      <c r="D54" s="2">
        <f>C54*0.01+0.01</f>
        <v>2.8299999999999999E-2</v>
      </c>
      <c r="E54" s="2">
        <f>LN($B$51/(1000*C54))</f>
        <v>-3.6000482404073204</v>
      </c>
      <c r="F54" s="4">
        <f>1/(A54+273.15)</f>
        <v>2.6798874447273215E-3</v>
      </c>
    </row>
    <row r="55" spans="1:6" x14ac:dyDescent="0.2">
      <c r="A55" s="3">
        <v>104.16</v>
      </c>
      <c r="B55" s="3">
        <f t="shared" ref="B55:B65" si="5">A55*0.01</f>
        <v>1.0416000000000001</v>
      </c>
      <c r="C55">
        <v>1.74</v>
      </c>
      <c r="D55" s="2">
        <f t="shared" ref="D55:D65" si="6">C55*0.01+0.01</f>
        <v>2.7400000000000001E-2</v>
      </c>
      <c r="E55" s="2">
        <f t="shared" ref="E55:E65" si="7">LN($B$51/(1000*C55))</f>
        <v>-3.5496173867804286</v>
      </c>
      <c r="F55" s="4">
        <f t="shared" ref="F55:F65" si="8">1/(A55+273.15)</f>
        <v>2.6503405687630863E-3</v>
      </c>
    </row>
    <row r="56" spans="1:6" x14ac:dyDescent="0.2">
      <c r="A56" s="3">
        <v>108.4</v>
      </c>
      <c r="B56" s="3">
        <f t="shared" si="5"/>
        <v>1.0840000000000001</v>
      </c>
      <c r="C56">
        <v>1.68</v>
      </c>
      <c r="D56" s="2">
        <f t="shared" si="6"/>
        <v>2.6799999999999997E-2</v>
      </c>
      <c r="E56" s="2">
        <f t="shared" si="7"/>
        <v>-3.5145260669691587</v>
      </c>
      <c r="F56" s="4">
        <f t="shared" si="8"/>
        <v>2.6208884811951254E-3</v>
      </c>
    </row>
    <row r="57" spans="1:6" x14ac:dyDescent="0.2">
      <c r="A57" s="3">
        <v>112.28</v>
      </c>
      <c r="B57" s="3">
        <f t="shared" si="5"/>
        <v>1.1228</v>
      </c>
      <c r="C57">
        <v>1.58</v>
      </c>
      <c r="D57" s="2">
        <f t="shared" si="6"/>
        <v>2.5800000000000003E-2</v>
      </c>
      <c r="E57" s="2">
        <f t="shared" si="7"/>
        <v>-3.4531571205928664</v>
      </c>
      <c r="F57" s="4">
        <f t="shared" si="8"/>
        <v>2.5945048387515245E-3</v>
      </c>
    </row>
    <row r="58" spans="1:6" x14ac:dyDescent="0.2">
      <c r="A58" s="3">
        <v>116.25</v>
      </c>
      <c r="B58" s="3">
        <f t="shared" si="5"/>
        <v>1.1625000000000001</v>
      </c>
      <c r="C58">
        <v>1.48</v>
      </c>
      <c r="D58" s="2">
        <f t="shared" si="6"/>
        <v>2.4800000000000003E-2</v>
      </c>
      <c r="E58" s="2">
        <f t="shared" si="7"/>
        <v>-3.3877743613300146</v>
      </c>
      <c r="F58" s="4">
        <f t="shared" si="8"/>
        <v>2.5680534155110429E-3</v>
      </c>
    </row>
    <row r="59" spans="1:6" x14ac:dyDescent="0.2">
      <c r="A59" s="3">
        <v>120</v>
      </c>
      <c r="B59" s="3">
        <f t="shared" si="5"/>
        <v>1.2</v>
      </c>
      <c r="C59">
        <v>1.37</v>
      </c>
      <c r="D59" s="2">
        <f t="shared" si="6"/>
        <v>2.3700000000000002E-2</v>
      </c>
      <c r="E59" s="2">
        <f>LN($B$51/(1000*C59))</f>
        <v>-3.3105430133940246</v>
      </c>
      <c r="F59" s="4">
        <f t="shared" si="8"/>
        <v>2.5435584382551188E-3</v>
      </c>
    </row>
    <row r="60" spans="1:6" x14ac:dyDescent="0.2">
      <c r="A60" s="3">
        <v>124.2</v>
      </c>
      <c r="B60" s="3">
        <f t="shared" si="5"/>
        <v>1.242</v>
      </c>
      <c r="C60">
        <v>1.26</v>
      </c>
      <c r="D60" s="2">
        <f t="shared" si="6"/>
        <v>2.2600000000000002E-2</v>
      </c>
      <c r="E60" s="2">
        <f t="shared" si="7"/>
        <v>-3.2268439945173775</v>
      </c>
      <c r="F60" s="4">
        <f t="shared" si="8"/>
        <v>2.5166729583490626E-3</v>
      </c>
    </row>
    <row r="61" spans="1:6" x14ac:dyDescent="0.2">
      <c r="A61" s="3">
        <v>128.05000000000001</v>
      </c>
      <c r="B61" s="3">
        <f t="shared" si="5"/>
        <v>1.2805000000000002</v>
      </c>
      <c r="C61">
        <v>1.1399999999999999</v>
      </c>
      <c r="D61" s="2">
        <f t="shared" si="6"/>
        <v>2.1399999999999999E-2</v>
      </c>
      <c r="E61" s="2">
        <f t="shared" si="7"/>
        <v>-3.1267605359603952</v>
      </c>
      <c r="F61" s="4">
        <f t="shared" si="8"/>
        <v>2.4925224327018943E-3</v>
      </c>
    </row>
    <row r="62" spans="1:6" x14ac:dyDescent="0.2">
      <c r="A62" s="3">
        <v>132.04</v>
      </c>
      <c r="B62" s="3">
        <f t="shared" si="5"/>
        <v>1.3204</v>
      </c>
      <c r="C62">
        <v>1.04</v>
      </c>
      <c r="D62" s="2">
        <f t="shared" si="6"/>
        <v>2.0400000000000001E-2</v>
      </c>
      <c r="E62" s="2">
        <f t="shared" si="7"/>
        <v>-3.0349529867072724</v>
      </c>
      <c r="F62" s="4">
        <f t="shared" si="8"/>
        <v>2.4679779856363686E-3</v>
      </c>
    </row>
    <row r="63" spans="1:6" x14ac:dyDescent="0.2">
      <c r="A63" s="3">
        <v>136.13</v>
      </c>
      <c r="B63" s="3">
        <f t="shared" si="5"/>
        <v>1.3613</v>
      </c>
      <c r="C63">
        <v>0.94</v>
      </c>
      <c r="D63" s="2">
        <f t="shared" si="6"/>
        <v>1.9400000000000001E-2</v>
      </c>
      <c r="E63" s="2">
        <f t="shared" si="7"/>
        <v>-2.9338568698359033</v>
      </c>
      <c r="F63" s="4">
        <f t="shared" si="8"/>
        <v>2.4433150899139957E-3</v>
      </c>
    </row>
    <row r="64" spans="1:6" x14ac:dyDescent="0.2">
      <c r="A64" s="3">
        <v>140.12</v>
      </c>
      <c r="B64" s="3">
        <f t="shared" si="5"/>
        <v>1.4012</v>
      </c>
      <c r="C64">
        <v>0.85</v>
      </c>
      <c r="D64" s="2">
        <f t="shared" si="6"/>
        <v>1.8500000000000003E-2</v>
      </c>
      <c r="E64" s="2">
        <f t="shared" si="7"/>
        <v>-2.8332133440562162</v>
      </c>
      <c r="F64" s="4">
        <f t="shared" si="8"/>
        <v>2.4197256031166067E-3</v>
      </c>
    </row>
    <row r="65" spans="1:6" x14ac:dyDescent="0.2">
      <c r="A65" s="3">
        <v>142.07</v>
      </c>
      <c r="B65" s="3">
        <f t="shared" si="5"/>
        <v>1.4206999999999999</v>
      </c>
      <c r="C65">
        <v>0.8</v>
      </c>
      <c r="D65" s="2">
        <f t="shared" si="6"/>
        <v>1.8000000000000002E-2</v>
      </c>
      <c r="E65" s="2">
        <f t="shared" si="7"/>
        <v>-2.7725887222397811</v>
      </c>
      <c r="F65" s="4">
        <f t="shared" si="8"/>
        <v>2.4083618322816823E-3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Юдин</dc:creator>
  <cp:lastModifiedBy>Фёдор Юдин</cp:lastModifiedBy>
  <dcterms:created xsi:type="dcterms:W3CDTF">2025-09-24T10:44:42Z</dcterms:created>
  <dcterms:modified xsi:type="dcterms:W3CDTF">2025-09-28T10:53:06Z</dcterms:modified>
</cp:coreProperties>
</file>